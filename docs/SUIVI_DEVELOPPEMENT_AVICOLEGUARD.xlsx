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Backlog détaillé" sheetId="2" state="visible" r:id="rId4"/>
    <sheet name="Avancement" sheetId="3" state="visible" r:id="rId5"/>
  </sheets>
  <definedNames>
    <definedName function="false" hidden="true" localSheetId="1" name="_xlnm._FilterDatabase" vbProcedure="false">'Backlog détaillé'!$A$4:$K$58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<sst xmlns="http://schemas.openxmlformats.org/spreadsheetml/2006/main" count="499" uniqueCount="201">
  <si>
    <t xml:space="preserve">AvicoleGuard — Suivi de développement du projet</t>
  </si>
  <si>
    <t xml:space="preserve">Sprints de 2 semaines — basé sur le backlog EPIC/User Stories et la roadmap MVP (V1) du cahier des charges final</t>
  </si>
  <si>
    <t xml:space="preserve">Légende statut :</t>
  </si>
  <si>
    <t xml:space="preserve">À faire</t>
  </si>
  <si>
    <t xml:space="preserve">En cours</t>
  </si>
  <si>
    <t xml:space="preserve">Bloqué</t>
  </si>
  <si>
    <t xml:space="preserve">Terminé</t>
  </si>
  <si>
    <t xml:space="preserve">Sprint</t>
  </si>
  <si>
    <t xml:space="preserve">Dates (à remplir)</t>
  </si>
  <si>
    <t xml:space="preserve">Phase roadmap associée</t>
  </si>
  <si>
    <t xml:space="preserve">Objectif du sprint</t>
  </si>
  <si>
    <t xml:space="preserve">EPICs couverts</t>
  </si>
  <si>
    <t xml:space="preserve">Nb User Stories</t>
  </si>
  <si>
    <t xml:space="preserve">Statut global</t>
  </si>
  <si>
    <t xml:space="preserve">Avancement (%)</t>
  </si>
  <si>
    <t xml:space="preserve">Sprint 0</t>
  </si>
  <si>
    <t xml:space="preserve">Phase 0-1 — Analyse &amp; Architecture</t>
  </si>
  <si>
    <t xml:space="preserve">Cadrage validé, setup dépôt Django + Docker Compose + CI de base, ADR figées</t>
  </si>
  <si>
    <t xml:space="preserve">Setup projet</t>
  </si>
  <si>
    <t xml:space="preserve">Sprint 1</t>
  </si>
  <si>
    <t xml:space="preserve">Phase 2 — Backend Django (socle)</t>
  </si>
  <si>
    <t xml:space="preserve">Auth (accounts), Farms, Flocks opérationnels avec permissions de base</t>
  </si>
  <si>
    <t xml:space="preserve">Authentification &amp; Comptes ; Gestion des exploitations et lots</t>
  </si>
  <si>
    <t xml:space="preserve">Sprint 2</t>
  </si>
  <si>
    <t xml:space="preserve">Phase 3 — Base PostgreSQL</t>
  </si>
  <si>
    <t xml:space="preserve">Schéma complet migré, Django Admin de base pour AlertRule/EducationalContent</t>
  </si>
  <si>
    <t xml:space="preserve">Sécurité &amp; Audit (base)</t>
  </si>
  <si>
    <t xml:space="preserve">Sprint 3</t>
  </si>
  <si>
    <t xml:space="preserve">Phase 4 — App Flutter (core online)</t>
  </si>
  <si>
    <t xml:space="preserve">Écrans auth, exploitations, lots connectés à l'API en mode online</t>
  </si>
  <si>
    <t xml:space="preserve">Gestion des exploitations et lots (mobile)</t>
  </si>
  <si>
    <t xml:space="preserve">Sprint 4</t>
  </si>
  <si>
    <t xml:space="preserve">Phase 2-3 — Suivi terrain</t>
  </si>
  <si>
    <t xml:space="preserve">Suivi quotidien, mortalité (+ verrou RM4), annulation tracée (RM11), observations</t>
  </si>
  <si>
    <t xml:space="preserve">Suivi terrain</t>
  </si>
  <si>
    <t xml:space="preserve">Sprint 5</t>
  </si>
  <si>
    <t xml:space="preserve">Phase 5 — Offline-first</t>
  </si>
  <si>
    <t xml:space="preserve">SQLite local, sync_queue, SyncQueueWorker, endpoints push/pull idempotents</t>
  </si>
  <si>
    <t xml:space="preserve">Synchronisation offline</t>
  </si>
  <si>
    <t xml:space="preserve">Sprint 6</t>
  </si>
  <si>
    <t xml:space="preserve">Phase 6 — Moteur de règles &amp; alertes</t>
  </si>
  <si>
    <t xml:space="preserve">AlertRuleEvaluator (seuil + tendance), anti-répétition RM12, alertes, recommandations</t>
  </si>
  <si>
    <t xml:space="preserve">Moteur d'analyse &amp; alertes</t>
  </si>
  <si>
    <t xml:space="preserve">Sprint 7</t>
  </si>
  <si>
    <t xml:space="preserve">Phase 7 — Assistance vétérinaire</t>
  </si>
  <si>
    <t xml:space="preserve">Demande, affectation manuelle, réponse, historique</t>
  </si>
  <si>
    <t xml:space="preserve">Assistance vétérinaire</t>
  </si>
  <si>
    <t xml:space="preserve">Sprint 8</t>
  </si>
  <si>
    <t xml:space="preserve">Phase 6-7 (suite) — Contenus &amp; notifications</t>
  </si>
  <si>
    <t xml:space="preserve">Contenus éducatifs (lecture), notifications in-app, calendrier sanitaire (planification manuelle)</t>
  </si>
  <si>
    <t xml:space="preserve">Contenus éducatifs &amp; Back-office admin</t>
  </si>
  <si>
    <t xml:space="preserve">Sprint 9</t>
  </si>
  <si>
    <t xml:space="preserve">Phase 8 — Durcissement &amp; Tests</t>
  </si>
  <si>
    <t xml:space="preserve">Tests Security/Sync complets, rate limiting, revue sécurité, KPI instrumentés</t>
  </si>
  <si>
    <t xml:space="preserve">Sécurité &amp; Audit (durcissement)</t>
  </si>
  <si>
    <t xml:space="preserve">Sprint 10</t>
  </si>
  <si>
    <t xml:space="preserve">Phase 9 — Déploiement</t>
  </si>
  <si>
    <t xml:space="preserve">Docker prod (+ Celery worker/beat), CI/CD, monitoring de base, health check</t>
  </si>
  <si>
    <t xml:space="preserve">Déploiement</t>
  </si>
  <si>
    <t xml:space="preserve">Sprint 11</t>
  </si>
  <si>
    <t xml:space="preserve">Phase 10 — Pilote terrain</t>
  </si>
  <si>
    <t xml:space="preserve">Formation éleveurs pilotes, collecte de retours, corrections bloquantes</t>
  </si>
  <si>
    <t xml:space="preserve">Pilote terrain</t>
  </si>
  <si>
    <t xml:space="preserve">Backlog détaillé — EPIC / User Story / Tâches</t>
  </si>
  <si>
    <t xml:space="preserve">Une ligne = une tâche. Mettre à jour Statut, Responsable, Estimation réelle au fil du sprint.</t>
  </si>
  <si>
    <t xml:space="preserve">EPIC</t>
  </si>
  <si>
    <t xml:space="preserve">User Story (ID)</t>
  </si>
  <si>
    <t xml:space="preserve">Tâche</t>
  </si>
  <si>
    <t xml:space="preserve">Type</t>
  </si>
  <si>
    <t xml:space="preserve">Priorité</t>
  </si>
  <si>
    <t xml:space="preserve">Statut</t>
  </si>
  <si>
    <t xml:space="preserve">Estim. (j)</t>
  </si>
  <si>
    <t xml:space="preserve">Responsable</t>
  </si>
  <si>
    <t xml:space="preserve">Sync/Offline ?</t>
  </si>
  <si>
    <t xml:space="preserve">Notes</t>
  </si>
  <si>
    <t xml:space="preserve">SET-001</t>
  </si>
  <si>
    <t xml:space="preserve">Setup dépôt Django + apps skeleton + Docker Compose (app, postgres, redis, celery-worker, celery-beat, nginx)</t>
  </si>
  <si>
    <t xml:space="preserve">DevOps</t>
  </si>
  <si>
    <t xml:space="preserve">Must</t>
  </si>
  <si>
    <t xml:space="preserve">SET-002</t>
  </si>
  <si>
    <t xml:space="preserve">Configurer CI (lint, tests, build image) — GitHub Actions ou équivalent</t>
  </si>
  <si>
    <t xml:space="preserve">SET-003</t>
  </si>
  <si>
    <t xml:space="preserve">drf-spectacular configuré, squelette OpenAPI accessible</t>
  </si>
  <si>
    <t xml:space="preserve">Backend</t>
  </si>
  <si>
    <t xml:space="preserve">Should</t>
  </si>
  <si>
    <t xml:space="preserve">Authentification &amp; Comptes</t>
  </si>
  <si>
    <t xml:space="preserve">US-AUTH-001</t>
  </si>
  <si>
    <t xml:space="preserve">Inscription éleveur (modèle User custom, serializer, vue, tests)</t>
  </si>
  <si>
    <t xml:space="preserve">Écran Register Flutter + validation locale + gestion erreurs 422</t>
  </si>
  <si>
    <t xml:space="preserve">Mobile</t>
  </si>
  <si>
    <t xml:space="preserve">Non</t>
  </si>
  <si>
    <t xml:space="preserve">US-AUTH-002</t>
  </si>
  <si>
    <t xml:space="preserve">Connexion (SimpleJWT access/refresh) + tests</t>
  </si>
  <si>
    <t xml:space="preserve">Écran Login Flutter, stockage sécurisé du token</t>
  </si>
  <si>
    <t xml:space="preserve">US-AUTH-003</t>
  </si>
  <si>
    <t xml:space="preserve">Mot de passe oublié (lien à usage unique, expiration 60 min)</t>
  </si>
  <si>
    <t xml:space="preserve">Gestion des exploitations et lots</t>
  </si>
  <si>
    <t xml:space="preserve">US-FARM-001</t>
  </si>
  <si>
    <t xml:space="preserve">Modèle Farm + FarmViewSet + IsFarmOwner permission + tests</t>
  </si>
  <si>
    <t xml:space="preserve">US-FLOCK-001</t>
  </si>
  <si>
    <t xml:space="preserve">Modèle Flock + FlockViewSet + tests (contrainte current_count&lt;=initial_count)</t>
  </si>
  <si>
    <t xml:space="preserve">US-SEC-001</t>
  </si>
  <si>
    <t xml:space="preserve">Permission classes systématiques (IsFlockOwner, IsFarmOwner) sur toutes les ressources</t>
  </si>
  <si>
    <t xml:space="preserve">US-SEC-002</t>
  </si>
  <si>
    <t xml:space="preserve">App audit : modèle AuditLog + signal post_save sur actions sensibles</t>
  </si>
  <si>
    <t xml:space="preserve">US-ADMIN-001</t>
  </si>
  <si>
    <t xml:space="preserve">Enregistrement Django Admin : AlertRule, EducationalContent, ContentCategory</t>
  </si>
  <si>
    <t xml:space="preserve">US-DB-001</t>
  </si>
  <si>
    <t xml:space="preserve">Migrations complètes des 3 apps existantes rejouables sur base vierge + seeders (rôles, catégories, règles d'alerte)</t>
  </si>
  <si>
    <t xml:space="preserve">US-FARM-001b</t>
  </si>
  <si>
    <t xml:space="preserve">Écran liste/détail exploitations Flutter (mode online)</t>
  </si>
  <si>
    <t xml:space="preserve">US-FLOCK-001b</t>
  </si>
  <si>
    <t xml:space="preserve">Écran création/détail lot Flutter (mode online)</t>
  </si>
  <si>
    <t xml:space="preserve">US-FLOCK-002</t>
  </si>
  <si>
    <t xml:space="preserve">Clôture d'un lot (API + écran) — refuse toute saisie ultérieure (RM7)</t>
  </si>
  <si>
    <t xml:space="preserve">US-UX-001</t>
  </si>
  <si>
    <t xml:space="preserve">Dashboard éleveur (7 indicateurs max, §32 cahier final)</t>
  </si>
  <si>
    <t xml:space="preserve">US-MON-001</t>
  </si>
  <si>
    <t xml:space="preserve">Modèle DailyMonitoring + endpoint + tests</t>
  </si>
  <si>
    <t xml:space="preserve">US-MON-001b</t>
  </si>
  <si>
    <t xml:space="preserve">Écran saisie suivi quotidien Flutter, valeurs par défaut pré-remplies</t>
  </si>
  <si>
    <t xml:space="preserve">Oui</t>
  </si>
  <si>
    <t xml:space="preserve">US-MORT-001</t>
  </si>
  <si>
    <t xml:space="preserve">Déclaration mortalité + verrou transactionnel select_for_update (RM4)</t>
  </si>
  <si>
    <t xml:space="preserve">US-MORT-002</t>
  </si>
  <si>
    <t xml:space="preserve">Annulation mortalité tracée (RM11) : cancelled_at/cancel_reason + recalcul current_count + AuditLog</t>
  </si>
  <si>
    <t xml:space="preserve">US-MORT-002b</t>
  </si>
  <si>
    <t xml:space="preserve">Écran annulation (motif obligatoire) accessible depuis l'historique du lot</t>
  </si>
  <si>
    <t xml:space="preserve">US-OBS-001</t>
  </si>
  <si>
    <t xml:space="preserve">Déclaration observation sanitaire (types normalisés) + tests</t>
  </si>
  <si>
    <t xml:space="preserve">US-SYNC-001</t>
  </si>
  <si>
    <t xml:space="preserve">Couche SQLite locale (Drift) + table sync_queue côté Flutter</t>
  </si>
  <si>
    <t xml:space="preserve">US-SYNC-001b</t>
  </si>
  <si>
    <t xml:space="preserve">SyncQueueWorker (retry backoff exponentiel, statuts pending/syncing/synced/failed/conflict)</t>
  </si>
  <si>
    <t xml:space="preserve">US-SYNC-002</t>
  </si>
  <si>
    <t xml:space="preserve">Endpoint POST /sync/{entity} idempotent par client_uuid</t>
  </si>
  <si>
    <t xml:space="preserve">US-SYNC-003</t>
  </si>
  <si>
    <t xml:space="preserve">Endpoint GET /sync/pull?since= (synchronisation incrémentale)</t>
  </si>
  <si>
    <t xml:space="preserve">US-SYNC-004</t>
  </si>
  <si>
    <t xml:space="preserve">Résolution de conflit (dernier gagnant serveur + notification utilisateur)</t>
  </si>
  <si>
    <t xml:space="preserve">US-SYNC-005</t>
  </si>
  <si>
    <t xml:space="preserve">Tests de synchronisation : création offline, rejeu idempotent, retry, conflit simulé</t>
  </si>
  <si>
    <t xml:space="preserve">Tests</t>
  </si>
  <si>
    <t xml:space="preserve">US-HEALTH-001</t>
  </si>
  <si>
    <t xml:space="preserve">AlertRuleEvaluator — règle mortality_threshold (Celery task analyze_flock)</t>
  </si>
  <si>
    <t xml:space="preserve">US-HEALTH-002</t>
  </si>
  <si>
    <t xml:space="preserve">Règles water/feed_consumption_drop, weight_deviation, temperature_abnormality (tendance trend_window_days)</t>
  </si>
  <si>
    <t xml:space="preserve">US-HEALTH-003</t>
  </si>
  <si>
    <t xml:space="preserve">Anti-répétition d'alerte (RM12, fenêtre 24h) + calcul confidence</t>
  </si>
  <si>
    <t xml:space="preserve">US-ALERT-001</t>
  </si>
  <si>
    <t xml:space="preserve">Génération Alert + Recommendation liées, wording RM9 ("signal, pas diagnostic")</t>
  </si>
  <si>
    <t xml:space="preserve">US-ALERT-002</t>
  </si>
  <si>
    <t xml:space="preserve">Écran Alertes Flutter (code couleur par niveau) + acquittement/clôture</t>
  </si>
  <si>
    <t xml:space="preserve">US-ASSIST-001</t>
  </si>
  <si>
    <t xml:space="preserve">Création demande d'assistance (+ upload photo sécurisé, URL signée)</t>
  </si>
  <si>
    <t xml:space="preserve">US-ASSIST-002</t>
  </si>
  <si>
    <t xml:space="preserve">Réponse professionnel + historique complet (fil de discussion)</t>
  </si>
  <si>
    <t xml:space="preserve">US-ASSIST-003</t>
  </si>
  <si>
    <t xml:space="preserve">Clôture demande + notification à l'éleveur</t>
  </si>
  <si>
    <t xml:space="preserve">US-ASSIST-004</t>
  </si>
  <si>
    <t xml:space="preserve">Écrans Flutter : liste demandes, création, fil de messages</t>
  </si>
  <si>
    <t xml:space="preserve">Oui (création)</t>
  </si>
  <si>
    <t xml:space="preserve">US-CONTENT-001</t>
  </si>
  <si>
    <t xml:space="preserve">CRUD ContentCategory/EducationalContent via Django Admin (gain natif)</t>
  </si>
  <si>
    <t xml:space="preserve">US-CONTENT-002</t>
  </si>
  <si>
    <t xml:space="preserve">Écran contenus Flutter + mise en cache locale du déjà-consulté</t>
  </si>
  <si>
    <t xml:space="preserve">Oui (lecture)</t>
  </si>
  <si>
    <t xml:space="preserve">US-NOTIF-001</t>
  </si>
  <si>
    <t xml:space="preserve">Notifications in-app (modèle + endpoint liste/marquer lu)</t>
  </si>
  <si>
    <t xml:space="preserve">US-NOTIF-002</t>
  </si>
  <si>
    <t xml:space="preserve">Notifications push FCM + notifications locales programmées (rappels)</t>
  </si>
  <si>
    <t xml:space="preserve">US-SCHED-001</t>
  </si>
  <si>
    <t xml:space="preserve">Calendrier sanitaire — planification manuelle + marquage "effectué" (rappels auto reportés V1.5)</t>
  </si>
  <si>
    <t xml:space="preserve">US-SEC-003</t>
  </si>
  <si>
    <t xml:space="preserve">Rate limiting sur /auth/* (throttling DRF)</t>
  </si>
  <si>
    <t xml:space="preserve">US-SEC-004</t>
  </si>
  <si>
    <t xml:space="preserve">Tests sécurité : isolation multi-éleveur, accès admin refusé, token invalide/compte désactivé</t>
  </si>
  <si>
    <t xml:space="preserve">US-SEC-005</t>
  </si>
  <si>
    <t xml:space="preserve">Suppression de compte (anonymisation différée, DELETE /me)</t>
  </si>
  <si>
    <t xml:space="preserve">US-KPI-001</t>
  </si>
  <si>
    <t xml:space="preserve">Instrumentation KPI (utilisateurs actifs, taux de suivi, taux d'alertes marquées non pertinentes)</t>
  </si>
  <si>
    <t xml:space="preserve">US-DEPLOY-001</t>
  </si>
  <si>
    <t xml:space="preserve">docker-compose prod (gunicorn, celery-worker, celery-beat, nginx, postgres, redis)</t>
  </si>
  <si>
    <t xml:space="preserve">US-DEPLOY-002</t>
  </si>
  <si>
    <t xml:space="preserve">Health check /api/health (DB + Redis) + logs structurés JSON</t>
  </si>
  <si>
    <t xml:space="preserve">US-DEPLOY-003</t>
  </si>
  <si>
    <t xml:space="preserve">Sauvegardes automatisées PostgreSQL (pg_dump planifié)</t>
  </si>
  <si>
    <t xml:space="preserve">US-PILOT-001</t>
  </si>
  <si>
    <t xml:space="preserve">Formation d'un groupe restreint d'éleveurs (3 profils, §8 cahier final)</t>
  </si>
  <si>
    <t xml:space="preserve">Produit</t>
  </si>
  <si>
    <t xml:space="preserve">US-PILOT-002</t>
  </si>
  <si>
    <t xml:space="preserve">Collecte structurée des retours (bugs, faux positifs perçus, UX)</t>
  </si>
  <si>
    <t xml:space="preserve">US-PILOT-003</t>
  </si>
  <si>
    <t xml:space="preserve">Corrections des bugs bloquants remontés</t>
  </si>
  <si>
    <t xml:space="preserve">Backend/Mobile</t>
  </si>
  <si>
    <t xml:space="preserve">Avancement global (calculé automatiquement depuis l'onglet 'Backlog détaillé')</t>
  </si>
  <si>
    <t xml:space="preserve">Nb tâches</t>
  </si>
  <si>
    <t xml:space="preserve">Terminées</t>
  </si>
  <si>
    <t xml:space="preserve">Bloquées</t>
  </si>
  <si>
    <t xml:space="preserve">% Terminé</t>
  </si>
  <si>
    <t xml:space="preserve">TOTAL PROJET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</si>
</sst>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  <c r="D5" s="4" t="s">
        <v>3</v>
      </c>
      <c r="E5" s="5" t="s">
        <v>4</v>
      </c>
      <c r="F5" s="6" t="s">
        <v>5</v>
      </c>
      <c r="G5" s="7" t="s">
        <v>6</v>
      </c>
    </row>
    <row r="7" customFormat="false" ht="15" hidden="false" customHeight="false" outlineLevel="0" collapsed="false"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</row>
    <row r="8" customFormat="false" ht="23.85" hidden="false" customHeight="false" outlineLevel="0" collapsed="false">
      <c r="B8" s="9" t="s">
        <v>15</v>
      </c>
      <c r="C8" s="10"/>
      <c r="D8" s="10" t="s">
        <v>16</v>
      </c>
      <c r="E8" s="10" t="s">
        <v>17</v>
      </c>
      <c r="F8" s="10" t="s">
        <v>18</v>
      </c>
      <c r="G8" s="10" t="n">
        <v>0</v>
      </c>
      <c r="H8" s="11" t="s">
        <v>3</v>
      </c>
      <c r="I8" s="10" t="n">
        <v>0</v>
      </c>
    </row>
    <row r="9" customFormat="false" ht="23.85" hidden="false" customHeight="false" outlineLevel="0" collapsed="false">
      <c r="B9" s="9" t="s">
        <v>19</v>
      </c>
      <c r="C9" s="10"/>
      <c r="D9" s="10" t="s">
        <v>20</v>
      </c>
      <c r="E9" s="10" t="s">
        <v>21</v>
      </c>
      <c r="F9" s="10" t="s">
        <v>22</v>
      </c>
      <c r="G9" s="10" t="n">
        <v>5</v>
      </c>
      <c r="H9" s="11" t="s">
        <v>3</v>
      </c>
      <c r="I9" s="10" t="n">
        <v>0</v>
      </c>
    </row>
    <row r="10" customFormat="false" ht="23.85" hidden="false" customHeight="false" outlineLevel="0" collapsed="false">
      <c r="B10" s="9" t="s">
        <v>23</v>
      </c>
      <c r="C10" s="10"/>
      <c r="D10" s="10" t="s">
        <v>24</v>
      </c>
      <c r="E10" s="10" t="s">
        <v>25</v>
      </c>
      <c r="F10" s="10" t="s">
        <v>26</v>
      </c>
      <c r="G10" s="10" t="n">
        <v>3</v>
      </c>
      <c r="H10" s="11" t="s">
        <v>3</v>
      </c>
      <c r="I10" s="10" t="n">
        <v>0</v>
      </c>
    </row>
    <row r="11" customFormat="false" ht="23.85" hidden="false" customHeight="false" outlineLevel="0" collapsed="false">
      <c r="B11" s="9" t="s">
        <v>27</v>
      </c>
      <c r="C11" s="10"/>
      <c r="D11" s="10" t="s">
        <v>28</v>
      </c>
      <c r="E11" s="10" t="s">
        <v>29</v>
      </c>
      <c r="F11" s="10" t="s">
        <v>30</v>
      </c>
      <c r="G11" s="10" t="n">
        <v>4</v>
      </c>
      <c r="H11" s="11" t="s">
        <v>3</v>
      </c>
      <c r="I11" s="10" t="n">
        <v>0</v>
      </c>
    </row>
    <row r="12" customFormat="false" ht="23.85" hidden="false" customHeight="false" outlineLevel="0" collapsed="false">
      <c r="B12" s="9" t="s">
        <v>31</v>
      </c>
      <c r="C12" s="10"/>
      <c r="D12" s="10" t="s">
        <v>32</v>
      </c>
      <c r="E12" s="10" t="s">
        <v>33</v>
      </c>
      <c r="F12" s="10" t="s">
        <v>34</v>
      </c>
      <c r="G12" s="10" t="n">
        <v>5</v>
      </c>
      <c r="H12" s="11" t="s">
        <v>3</v>
      </c>
      <c r="I12" s="10" t="n">
        <v>0</v>
      </c>
    </row>
    <row r="13" customFormat="false" ht="23.85" hidden="false" customHeight="false" outlineLevel="0" collapsed="false">
      <c r="B13" s="9" t="s">
        <v>35</v>
      </c>
      <c r="C13" s="10"/>
      <c r="D13" s="10" t="s">
        <v>36</v>
      </c>
      <c r="E13" s="10" t="s">
        <v>37</v>
      </c>
      <c r="F13" s="10" t="s">
        <v>38</v>
      </c>
      <c r="G13" s="10" t="n">
        <v>4</v>
      </c>
      <c r="H13" s="11" t="s">
        <v>3</v>
      </c>
      <c r="I13" s="10" t="n">
        <v>0</v>
      </c>
    </row>
    <row r="14" customFormat="false" ht="23.85" hidden="false" customHeight="false" outlineLevel="0" collapsed="false">
      <c r="B14" s="9" t="s">
        <v>39</v>
      </c>
      <c r="C14" s="10"/>
      <c r="D14" s="10" t="s">
        <v>40</v>
      </c>
      <c r="E14" s="10" t="s">
        <v>41</v>
      </c>
      <c r="F14" s="10" t="s">
        <v>42</v>
      </c>
      <c r="G14" s="10" t="n">
        <v>5</v>
      </c>
      <c r="H14" s="11" t="s">
        <v>3</v>
      </c>
      <c r="I14" s="10" t="n">
        <v>0</v>
      </c>
    </row>
    <row r="15" customFormat="false" ht="23.85" hidden="false" customHeight="false" outlineLevel="0" collapsed="false">
      <c r="B15" s="9" t="s">
        <v>43</v>
      </c>
      <c r="C15" s="10"/>
      <c r="D15" s="10" t="s">
        <v>44</v>
      </c>
      <c r="E15" s="10" t="s">
        <v>45</v>
      </c>
      <c r="F15" s="10" t="s">
        <v>46</v>
      </c>
      <c r="G15" s="10" t="n">
        <v>3</v>
      </c>
      <c r="H15" s="11" t="s">
        <v>3</v>
      </c>
      <c r="I15" s="10" t="n">
        <v>0</v>
      </c>
    </row>
    <row r="16" customFormat="false" ht="23.85" hidden="false" customHeight="false" outlineLevel="0" collapsed="false">
      <c r="B16" s="9" t="s">
        <v>47</v>
      </c>
      <c r="C16" s="10"/>
      <c r="D16" s="10" t="s">
        <v>48</v>
      </c>
      <c r="E16" s="10" t="s">
        <v>49</v>
      </c>
      <c r="F16" s="10" t="s">
        <v>50</v>
      </c>
      <c r="G16" s="10" t="n">
        <v>2</v>
      </c>
      <c r="H16" s="11" t="s">
        <v>3</v>
      </c>
      <c r="I16" s="10" t="n">
        <v>0</v>
      </c>
    </row>
    <row r="17" customFormat="false" ht="23.85" hidden="false" customHeight="false" outlineLevel="0" collapsed="false">
      <c r="B17" s="9" t="s">
        <v>51</v>
      </c>
      <c r="C17" s="10"/>
      <c r="D17" s="10" t="s">
        <v>52</v>
      </c>
      <c r="E17" s="10" t="s">
        <v>53</v>
      </c>
      <c r="F17" s="10" t="s">
        <v>54</v>
      </c>
      <c r="G17" s="10" t="n">
        <v>3</v>
      </c>
      <c r="H17" s="11" t="s">
        <v>3</v>
      </c>
      <c r="I17" s="10" t="n">
        <v>0</v>
      </c>
    </row>
    <row r="18" customFormat="false" ht="23.85" hidden="false" customHeight="false" outlineLevel="0" collapsed="false">
      <c r="B18" s="9" t="s">
        <v>55</v>
      </c>
      <c r="C18" s="10"/>
      <c r="D18" s="10" t="s">
        <v>56</v>
      </c>
      <c r="E18" s="10" t="s">
        <v>57</v>
      </c>
      <c r="F18" s="10" t="s">
        <v>58</v>
      </c>
      <c r="G18" s="10" t="n">
        <v>0</v>
      </c>
      <c r="H18" s="11" t="s">
        <v>3</v>
      </c>
      <c r="I18" s="10" t="n">
        <v>0</v>
      </c>
    </row>
    <row r="19" customFormat="false" ht="23.85" hidden="false" customHeight="false" outlineLevel="0" collapsed="false">
      <c r="B19" s="9" t="s">
        <v>59</v>
      </c>
      <c r="C19" s="10"/>
      <c r="D19" s="10" t="s">
        <v>60</v>
      </c>
      <c r="E19" s="10" t="s">
        <v>61</v>
      </c>
      <c r="F19" s="10" t="s">
        <v>62</v>
      </c>
      <c r="G19" s="10" t="n">
        <v>0</v>
      </c>
      <c r="H19" s="11" t="s">
        <v>3</v>
      </c>
      <c r="I19" s="10" t="n">
        <v>0</v>
      </c>
    </row>
  </sheetData>
  <mergeCells count="2">
    <mergeCell ref="B2:J2"/>
    <mergeCell ref="B3:J3"/>
  </mergeCells>
  <dataValidations count="1">
    <dataValidation allowBlank="true" errorStyle="stop" operator="between" showDropDown="false" showErrorMessage="false" showInputMessage="false" sqref="H8:H19" type="list">
      <formula1>"À faire,En cours,Bloqué,Terminé"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8" t="s">
        <v>7</v>
      </c>
      <c r="B4" s="8" t="s">
        <v>65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8" t="s">
        <v>74</v>
      </c>
    </row>
    <row r="5" customFormat="false" ht="23.85" hidden="false" customHeight="false" outlineLevel="0" collapsed="false">
      <c r="A5" s="12" t="s">
        <v>15</v>
      </c>
      <c r="B5" s="12" t="s">
        <v>18</v>
      </c>
      <c r="C5" s="12" t="s">
        <v>75</v>
      </c>
      <c r="D5" s="10" t="s">
        <v>76</v>
      </c>
      <c r="E5" s="12" t="s">
        <v>77</v>
      </c>
      <c r="F5" s="13" t="s">
        <v>78</v>
      </c>
      <c r="G5" s="12" t="s">
        <v>3</v>
      </c>
      <c r="H5" s="12"/>
      <c r="I5" s="12"/>
      <c r="J5" s="12"/>
      <c r="K5" s="10"/>
    </row>
    <row r="6" customFormat="false" ht="23.85" hidden="false" customHeight="false" outlineLevel="0" collapsed="false">
      <c r="A6" s="12" t="s">
        <v>15</v>
      </c>
      <c r="B6" s="12" t="s">
        <v>18</v>
      </c>
      <c r="C6" s="12" t="s">
        <v>79</v>
      </c>
      <c r="D6" s="10" t="s">
        <v>80</v>
      </c>
      <c r="E6" s="12" t="s">
        <v>77</v>
      </c>
      <c r="F6" s="13" t="s">
        <v>78</v>
      </c>
      <c r="G6" s="12" t="s">
        <v>3</v>
      </c>
      <c r="H6" s="12"/>
      <c r="I6" s="12"/>
      <c r="J6" s="12"/>
      <c r="K6" s="10"/>
    </row>
    <row r="7" customFormat="false" ht="15" hidden="false" customHeight="false" outlineLevel="0" collapsed="false">
      <c r="A7" s="12" t="s">
        <v>15</v>
      </c>
      <c r="B7" s="12" t="s">
        <v>18</v>
      </c>
      <c r="C7" s="12" t="s">
        <v>81</v>
      </c>
      <c r="D7" s="10" t="s">
        <v>82</v>
      </c>
      <c r="E7" s="12" t="s">
        <v>83</v>
      </c>
      <c r="F7" s="14" t="s">
        <v>84</v>
      </c>
      <c r="G7" s="12" t="s">
        <v>3</v>
      </c>
      <c r="H7" s="12"/>
      <c r="I7" s="12"/>
      <c r="J7" s="12"/>
      <c r="K7" s="10"/>
    </row>
    <row r="8" customFormat="false" ht="23.85" hidden="false" customHeight="false" outlineLevel="0" collapsed="false">
      <c r="A8" s="12" t="s">
        <v>19</v>
      </c>
      <c r="B8" s="12" t="s">
        <v>85</v>
      </c>
      <c r="C8" s="12" t="s">
        <v>86</v>
      </c>
      <c r="D8" s="10" t="s">
        <v>87</v>
      </c>
      <c r="E8" s="12" t="s">
        <v>83</v>
      </c>
      <c r="F8" s="13" t="s">
        <v>78</v>
      </c>
      <c r="G8" s="12" t="s">
        <v>3</v>
      </c>
      <c r="H8" s="12"/>
      <c r="I8" s="12"/>
      <c r="J8" s="12"/>
      <c r="K8" s="10"/>
    </row>
    <row r="9" customFormat="false" ht="23.85" hidden="false" customHeight="false" outlineLevel="0" collapsed="false">
      <c r="A9" s="12" t="s">
        <v>19</v>
      </c>
      <c r="B9" s="12" t="s">
        <v>85</v>
      </c>
      <c r="C9" s="12" t="s">
        <v>86</v>
      </c>
      <c r="D9" s="10" t="s">
        <v>88</v>
      </c>
      <c r="E9" s="12" t="s">
        <v>89</v>
      </c>
      <c r="F9" s="13" t="s">
        <v>78</v>
      </c>
      <c r="G9" s="12" t="s">
        <v>3</v>
      </c>
      <c r="H9" s="12"/>
      <c r="I9" s="12"/>
      <c r="J9" s="12" t="s">
        <v>90</v>
      </c>
      <c r="K9" s="10"/>
    </row>
    <row r="10" customFormat="false" ht="15" hidden="false" customHeight="false" outlineLevel="0" collapsed="false">
      <c r="A10" s="12" t="s">
        <v>19</v>
      </c>
      <c r="B10" s="12" t="s">
        <v>85</v>
      </c>
      <c r="C10" s="12" t="s">
        <v>91</v>
      </c>
      <c r="D10" s="10" t="s">
        <v>92</v>
      </c>
      <c r="E10" s="12" t="s">
        <v>83</v>
      </c>
      <c r="F10" s="13" t="s">
        <v>78</v>
      </c>
      <c r="G10" s="12" t="s">
        <v>3</v>
      </c>
      <c r="H10" s="12"/>
      <c r="I10" s="12"/>
      <c r="J10" s="12"/>
      <c r="K10" s="10"/>
    </row>
    <row r="11" customFormat="false" ht="15" hidden="false" customHeight="false" outlineLevel="0" collapsed="false">
      <c r="A11" s="12" t="s">
        <v>19</v>
      </c>
      <c r="B11" s="12" t="s">
        <v>85</v>
      </c>
      <c r="C11" s="12" t="s">
        <v>91</v>
      </c>
      <c r="D11" s="10" t="s">
        <v>93</v>
      </c>
      <c r="E11" s="12" t="s">
        <v>89</v>
      </c>
      <c r="F11" s="13" t="s">
        <v>78</v>
      </c>
      <c r="G11" s="12" t="s">
        <v>3</v>
      </c>
      <c r="H11" s="12"/>
      <c r="I11" s="12"/>
      <c r="J11" s="12" t="s">
        <v>90</v>
      </c>
      <c r="K11" s="10"/>
    </row>
    <row r="12" customFormat="false" ht="15" hidden="false" customHeight="false" outlineLevel="0" collapsed="false">
      <c r="A12" s="12" t="s">
        <v>19</v>
      </c>
      <c r="B12" s="12" t="s">
        <v>85</v>
      </c>
      <c r="C12" s="12" t="s">
        <v>94</v>
      </c>
      <c r="D12" s="10" t="s">
        <v>95</v>
      </c>
      <c r="E12" s="12" t="s">
        <v>83</v>
      </c>
      <c r="F12" s="13" t="s">
        <v>78</v>
      </c>
      <c r="G12" s="12" t="s">
        <v>3</v>
      </c>
      <c r="H12" s="12"/>
      <c r="I12" s="12"/>
      <c r="J12" s="12"/>
      <c r="K12" s="10"/>
    </row>
    <row r="13" customFormat="false" ht="23.85" hidden="false" customHeight="false" outlineLevel="0" collapsed="false">
      <c r="A13" s="12" t="s">
        <v>19</v>
      </c>
      <c r="B13" s="12" t="s">
        <v>96</v>
      </c>
      <c r="C13" s="12" t="s">
        <v>97</v>
      </c>
      <c r="D13" s="10" t="s">
        <v>98</v>
      </c>
      <c r="E13" s="12" t="s">
        <v>83</v>
      </c>
      <c r="F13" s="13" t="s">
        <v>78</v>
      </c>
      <c r="G13" s="12" t="s">
        <v>3</v>
      </c>
      <c r="H13" s="12"/>
      <c r="I13" s="12"/>
      <c r="J13" s="12"/>
      <c r="K13" s="10"/>
    </row>
    <row r="14" customFormat="false" ht="23.85" hidden="false" customHeight="false" outlineLevel="0" collapsed="false">
      <c r="A14" s="12" t="s">
        <v>19</v>
      </c>
      <c r="B14" s="12" t="s">
        <v>96</v>
      </c>
      <c r="C14" s="12" t="s">
        <v>99</v>
      </c>
      <c r="D14" s="10" t="s">
        <v>100</v>
      </c>
      <c r="E14" s="12" t="s">
        <v>83</v>
      </c>
      <c r="F14" s="13" t="s">
        <v>78</v>
      </c>
      <c r="G14" s="12" t="s">
        <v>3</v>
      </c>
      <c r="H14" s="12"/>
      <c r="I14" s="12"/>
      <c r="J14" s="12"/>
      <c r="K14" s="10"/>
    </row>
    <row r="15" customFormat="false" ht="23.85" hidden="false" customHeight="false" outlineLevel="0" collapsed="false">
      <c r="A15" s="12" t="s">
        <v>23</v>
      </c>
      <c r="B15" s="12" t="s">
        <v>26</v>
      </c>
      <c r="C15" s="12" t="s">
        <v>101</v>
      </c>
      <c r="D15" s="10" t="s">
        <v>102</v>
      </c>
      <c r="E15" s="12" t="s">
        <v>83</v>
      </c>
      <c r="F15" s="13" t="s">
        <v>78</v>
      </c>
      <c r="G15" s="12" t="s">
        <v>3</v>
      </c>
      <c r="H15" s="12"/>
      <c r="I15" s="12"/>
      <c r="J15" s="12"/>
      <c r="K15" s="10"/>
    </row>
    <row r="16" customFormat="false" ht="23.85" hidden="false" customHeight="false" outlineLevel="0" collapsed="false">
      <c r="A16" s="12" t="s">
        <v>23</v>
      </c>
      <c r="B16" s="12" t="s">
        <v>26</v>
      </c>
      <c r="C16" s="12" t="s">
        <v>103</v>
      </c>
      <c r="D16" s="10" t="s">
        <v>104</v>
      </c>
      <c r="E16" s="12" t="s">
        <v>83</v>
      </c>
      <c r="F16" s="14" t="s">
        <v>84</v>
      </c>
      <c r="G16" s="12" t="s">
        <v>3</v>
      </c>
      <c r="H16" s="12"/>
      <c r="I16" s="12"/>
      <c r="J16" s="12"/>
      <c r="K16" s="10"/>
    </row>
    <row r="17" customFormat="false" ht="23.85" hidden="false" customHeight="false" outlineLevel="0" collapsed="false">
      <c r="A17" s="12" t="s">
        <v>23</v>
      </c>
      <c r="B17" s="12" t="s">
        <v>26</v>
      </c>
      <c r="C17" s="12" t="s">
        <v>105</v>
      </c>
      <c r="D17" s="10" t="s">
        <v>106</v>
      </c>
      <c r="E17" s="12" t="s">
        <v>83</v>
      </c>
      <c r="F17" s="14" t="s">
        <v>84</v>
      </c>
      <c r="G17" s="12" t="s">
        <v>3</v>
      </c>
      <c r="H17" s="12"/>
      <c r="I17" s="12"/>
      <c r="J17" s="12"/>
      <c r="K17" s="10"/>
    </row>
    <row r="18" customFormat="false" ht="23.85" hidden="false" customHeight="false" outlineLevel="0" collapsed="false">
      <c r="A18" s="12" t="s">
        <v>23</v>
      </c>
      <c r="B18" s="12" t="s">
        <v>26</v>
      </c>
      <c r="C18" s="12" t="s">
        <v>107</v>
      </c>
      <c r="D18" s="10" t="s">
        <v>108</v>
      </c>
      <c r="E18" s="12" t="s">
        <v>83</v>
      </c>
      <c r="F18" s="13" t="s">
        <v>78</v>
      </c>
      <c r="G18" s="12" t="s">
        <v>3</v>
      </c>
      <c r="H18" s="12"/>
      <c r="I18" s="12"/>
      <c r="J18" s="12"/>
      <c r="K18" s="10"/>
    </row>
    <row r="19" customFormat="false" ht="15" hidden="false" customHeight="false" outlineLevel="0" collapsed="false">
      <c r="A19" s="12" t="s">
        <v>27</v>
      </c>
      <c r="B19" s="12" t="s">
        <v>30</v>
      </c>
      <c r="C19" s="12" t="s">
        <v>109</v>
      </c>
      <c r="D19" s="10" t="s">
        <v>110</v>
      </c>
      <c r="E19" s="12" t="s">
        <v>89</v>
      </c>
      <c r="F19" s="13" t="s">
        <v>78</v>
      </c>
      <c r="G19" s="12" t="s">
        <v>3</v>
      </c>
      <c r="H19" s="12"/>
      <c r="I19" s="12"/>
      <c r="J19" s="12" t="s">
        <v>90</v>
      </c>
      <c r="K19" s="10"/>
    </row>
    <row r="20" customFormat="false" ht="15" hidden="false" customHeight="false" outlineLevel="0" collapsed="false">
      <c r="A20" s="12" t="s">
        <v>27</v>
      </c>
      <c r="B20" s="12" t="s">
        <v>30</v>
      </c>
      <c r="C20" s="12" t="s">
        <v>111</v>
      </c>
      <c r="D20" s="10" t="s">
        <v>112</v>
      </c>
      <c r="E20" s="12" t="s">
        <v>89</v>
      </c>
      <c r="F20" s="13" t="s">
        <v>78</v>
      </c>
      <c r="G20" s="12" t="s">
        <v>3</v>
      </c>
      <c r="H20" s="12"/>
      <c r="I20" s="12"/>
      <c r="J20" s="12" t="s">
        <v>90</v>
      </c>
      <c r="K20" s="10"/>
    </row>
    <row r="21" customFormat="false" ht="23.85" hidden="false" customHeight="false" outlineLevel="0" collapsed="false">
      <c r="A21" s="12" t="s">
        <v>27</v>
      </c>
      <c r="B21" s="12" t="s">
        <v>30</v>
      </c>
      <c r="C21" s="12" t="s">
        <v>113</v>
      </c>
      <c r="D21" s="10" t="s">
        <v>114</v>
      </c>
      <c r="E21" s="12" t="s">
        <v>83</v>
      </c>
      <c r="F21" s="13" t="s">
        <v>78</v>
      </c>
      <c r="G21" s="12" t="s">
        <v>3</v>
      </c>
      <c r="H21" s="12"/>
      <c r="I21" s="12"/>
      <c r="J21" s="12"/>
      <c r="K21" s="10"/>
    </row>
    <row r="22" customFormat="false" ht="15" hidden="false" customHeight="false" outlineLevel="0" collapsed="false">
      <c r="A22" s="12" t="s">
        <v>27</v>
      </c>
      <c r="B22" s="12" t="s">
        <v>30</v>
      </c>
      <c r="C22" s="12" t="s">
        <v>115</v>
      </c>
      <c r="D22" s="10" t="s">
        <v>116</v>
      </c>
      <c r="E22" s="12" t="s">
        <v>89</v>
      </c>
      <c r="F22" s="14" t="s">
        <v>84</v>
      </c>
      <c r="G22" s="12" t="s">
        <v>3</v>
      </c>
      <c r="H22" s="12"/>
      <c r="I22" s="12"/>
      <c r="J22" s="12" t="s">
        <v>90</v>
      </c>
      <c r="K22" s="10"/>
    </row>
    <row r="23" customFormat="false" ht="15" hidden="false" customHeight="false" outlineLevel="0" collapsed="false">
      <c r="A23" s="12" t="s">
        <v>31</v>
      </c>
      <c r="B23" s="12" t="s">
        <v>34</v>
      </c>
      <c r="C23" s="12" t="s">
        <v>117</v>
      </c>
      <c r="D23" s="10" t="s">
        <v>118</v>
      </c>
      <c r="E23" s="12" t="s">
        <v>83</v>
      </c>
      <c r="F23" s="13" t="s">
        <v>78</v>
      </c>
      <c r="G23" s="12" t="s">
        <v>3</v>
      </c>
      <c r="H23" s="12"/>
      <c r="I23" s="12"/>
      <c r="J23" s="12"/>
      <c r="K23" s="10"/>
    </row>
    <row r="24" customFormat="false" ht="23.85" hidden="false" customHeight="false" outlineLevel="0" collapsed="false">
      <c r="A24" s="12" t="s">
        <v>31</v>
      </c>
      <c r="B24" s="12" t="s">
        <v>34</v>
      </c>
      <c r="C24" s="12" t="s">
        <v>119</v>
      </c>
      <c r="D24" s="10" t="s">
        <v>120</v>
      </c>
      <c r="E24" s="12" t="s">
        <v>89</v>
      </c>
      <c r="F24" s="13" t="s">
        <v>78</v>
      </c>
      <c r="G24" s="12" t="s">
        <v>3</v>
      </c>
      <c r="H24" s="12"/>
      <c r="I24" s="12"/>
      <c r="J24" s="12" t="s">
        <v>121</v>
      </c>
      <c r="K24" s="10"/>
    </row>
    <row r="25" customFormat="false" ht="23.85" hidden="false" customHeight="false" outlineLevel="0" collapsed="false">
      <c r="A25" s="12" t="s">
        <v>31</v>
      </c>
      <c r="B25" s="12" t="s">
        <v>34</v>
      </c>
      <c r="C25" s="12" t="s">
        <v>122</v>
      </c>
      <c r="D25" s="10" t="s">
        <v>123</v>
      </c>
      <c r="E25" s="12" t="s">
        <v>83</v>
      </c>
      <c r="F25" s="13" t="s">
        <v>78</v>
      </c>
      <c r="G25" s="12" t="s">
        <v>3</v>
      </c>
      <c r="H25" s="12"/>
      <c r="I25" s="12"/>
      <c r="J25" s="12"/>
      <c r="K25" s="10"/>
    </row>
    <row r="26" customFormat="false" ht="35.05" hidden="false" customHeight="false" outlineLevel="0" collapsed="false">
      <c r="A26" s="12" t="s">
        <v>31</v>
      </c>
      <c r="B26" s="12" t="s">
        <v>34</v>
      </c>
      <c r="C26" s="12" t="s">
        <v>124</v>
      </c>
      <c r="D26" s="10" t="s">
        <v>125</v>
      </c>
      <c r="E26" s="12" t="s">
        <v>83</v>
      </c>
      <c r="F26" s="13" t="s">
        <v>78</v>
      </c>
      <c r="G26" s="12" t="s">
        <v>3</v>
      </c>
      <c r="H26" s="12"/>
      <c r="I26" s="12"/>
      <c r="J26" s="12"/>
      <c r="K26" s="10"/>
    </row>
    <row r="27" customFormat="false" ht="23.85" hidden="false" customHeight="false" outlineLevel="0" collapsed="false">
      <c r="A27" s="12" t="s">
        <v>31</v>
      </c>
      <c r="B27" s="12" t="s">
        <v>34</v>
      </c>
      <c r="C27" s="12" t="s">
        <v>126</v>
      </c>
      <c r="D27" s="10" t="s">
        <v>127</v>
      </c>
      <c r="E27" s="12" t="s">
        <v>89</v>
      </c>
      <c r="F27" s="13" t="s">
        <v>78</v>
      </c>
      <c r="G27" s="12" t="s">
        <v>3</v>
      </c>
      <c r="H27" s="12"/>
      <c r="I27" s="12"/>
      <c r="J27" s="12" t="s">
        <v>121</v>
      </c>
      <c r="K27" s="10"/>
    </row>
    <row r="28" customFormat="false" ht="15" hidden="false" customHeight="false" outlineLevel="0" collapsed="false">
      <c r="A28" s="12" t="s">
        <v>31</v>
      </c>
      <c r="B28" s="12" t="s">
        <v>34</v>
      </c>
      <c r="C28" s="12" t="s">
        <v>128</v>
      </c>
      <c r="D28" s="10" t="s">
        <v>129</v>
      </c>
      <c r="E28" s="12" t="s">
        <v>83</v>
      </c>
      <c r="F28" s="13" t="s">
        <v>78</v>
      </c>
      <c r="G28" s="12" t="s">
        <v>3</v>
      </c>
      <c r="H28" s="12"/>
      <c r="I28" s="12"/>
      <c r="J28" s="12"/>
      <c r="K28" s="10"/>
    </row>
    <row r="29" customFormat="false" ht="15" hidden="false" customHeight="false" outlineLevel="0" collapsed="false">
      <c r="A29" s="12" t="s">
        <v>35</v>
      </c>
      <c r="B29" s="12" t="s">
        <v>38</v>
      </c>
      <c r="C29" s="12" t="s">
        <v>130</v>
      </c>
      <c r="D29" s="10" t="s">
        <v>131</v>
      </c>
      <c r="E29" s="12" t="s">
        <v>89</v>
      </c>
      <c r="F29" s="13" t="s">
        <v>78</v>
      </c>
      <c r="G29" s="12" t="s">
        <v>3</v>
      </c>
      <c r="H29" s="12"/>
      <c r="I29" s="12"/>
      <c r="J29" s="12" t="s">
        <v>121</v>
      </c>
      <c r="K29" s="10"/>
    </row>
    <row r="30" customFormat="false" ht="23.85" hidden="false" customHeight="false" outlineLevel="0" collapsed="false">
      <c r="A30" s="12" t="s">
        <v>35</v>
      </c>
      <c r="B30" s="12" t="s">
        <v>38</v>
      </c>
      <c r="C30" s="12" t="s">
        <v>132</v>
      </c>
      <c r="D30" s="10" t="s">
        <v>133</v>
      </c>
      <c r="E30" s="12" t="s">
        <v>89</v>
      </c>
      <c r="F30" s="13" t="s">
        <v>78</v>
      </c>
      <c r="G30" s="12" t="s">
        <v>3</v>
      </c>
      <c r="H30" s="12"/>
      <c r="I30" s="12"/>
      <c r="J30" s="12" t="s">
        <v>121</v>
      </c>
      <c r="K30" s="10"/>
    </row>
    <row r="31" customFormat="false" ht="15" hidden="false" customHeight="false" outlineLevel="0" collapsed="false">
      <c r="A31" s="12" t="s">
        <v>35</v>
      </c>
      <c r="B31" s="12" t="s">
        <v>38</v>
      </c>
      <c r="C31" s="12" t="s">
        <v>134</v>
      </c>
      <c r="D31" s="10" t="s">
        <v>135</v>
      </c>
      <c r="E31" s="12" t="s">
        <v>83</v>
      </c>
      <c r="F31" s="13" t="s">
        <v>78</v>
      </c>
      <c r="G31" s="12" t="s">
        <v>3</v>
      </c>
      <c r="H31" s="12"/>
      <c r="I31" s="12"/>
      <c r="J31" s="12"/>
      <c r="K31" s="10"/>
    </row>
    <row r="32" customFormat="false" ht="23.85" hidden="false" customHeight="false" outlineLevel="0" collapsed="false">
      <c r="A32" s="12" t="s">
        <v>35</v>
      </c>
      <c r="B32" s="12" t="s">
        <v>38</v>
      </c>
      <c r="C32" s="12" t="s">
        <v>136</v>
      </c>
      <c r="D32" s="10" t="s">
        <v>137</v>
      </c>
      <c r="E32" s="12" t="s">
        <v>83</v>
      </c>
      <c r="F32" s="13" t="s">
        <v>78</v>
      </c>
      <c r="G32" s="12" t="s">
        <v>3</v>
      </c>
      <c r="H32" s="12"/>
      <c r="I32" s="12"/>
      <c r="J32" s="12"/>
      <c r="K32" s="10"/>
    </row>
    <row r="33" customFormat="false" ht="23.85" hidden="false" customHeight="false" outlineLevel="0" collapsed="false">
      <c r="A33" s="12" t="s">
        <v>35</v>
      </c>
      <c r="B33" s="12" t="s">
        <v>38</v>
      </c>
      <c r="C33" s="12" t="s">
        <v>138</v>
      </c>
      <c r="D33" s="10" t="s">
        <v>139</v>
      </c>
      <c r="E33" s="12" t="s">
        <v>83</v>
      </c>
      <c r="F33" s="13" t="s">
        <v>78</v>
      </c>
      <c r="G33" s="12" t="s">
        <v>3</v>
      </c>
      <c r="H33" s="12"/>
      <c r="I33" s="12"/>
      <c r="J33" s="12"/>
      <c r="K33" s="10"/>
    </row>
    <row r="34" customFormat="false" ht="23.85" hidden="false" customHeight="false" outlineLevel="0" collapsed="false">
      <c r="A34" s="12" t="s">
        <v>35</v>
      </c>
      <c r="B34" s="12" t="s">
        <v>38</v>
      </c>
      <c r="C34" s="12" t="s">
        <v>140</v>
      </c>
      <c r="D34" s="10" t="s">
        <v>141</v>
      </c>
      <c r="E34" s="12" t="s">
        <v>142</v>
      </c>
      <c r="F34" s="13" t="s">
        <v>78</v>
      </c>
      <c r="G34" s="12" t="s">
        <v>3</v>
      </c>
      <c r="H34" s="12"/>
      <c r="I34" s="12"/>
      <c r="J34" s="12" t="s">
        <v>121</v>
      </c>
      <c r="K34" s="10"/>
    </row>
    <row r="35" customFormat="false" ht="23.85" hidden="false" customHeight="false" outlineLevel="0" collapsed="false">
      <c r="A35" s="12" t="s">
        <v>39</v>
      </c>
      <c r="B35" s="12" t="s">
        <v>42</v>
      </c>
      <c r="C35" s="12" t="s">
        <v>143</v>
      </c>
      <c r="D35" s="10" t="s">
        <v>144</v>
      </c>
      <c r="E35" s="12" t="s">
        <v>83</v>
      </c>
      <c r="F35" s="13" t="s">
        <v>78</v>
      </c>
      <c r="G35" s="12" t="s">
        <v>3</v>
      </c>
      <c r="H35" s="12"/>
      <c r="I35" s="12"/>
      <c r="J35" s="12"/>
      <c r="K35" s="10"/>
    </row>
    <row r="36" customFormat="false" ht="23.85" hidden="false" customHeight="false" outlineLevel="0" collapsed="false">
      <c r="A36" s="12" t="s">
        <v>39</v>
      </c>
      <c r="B36" s="12" t="s">
        <v>42</v>
      </c>
      <c r="C36" s="12" t="s">
        <v>145</v>
      </c>
      <c r="D36" s="10" t="s">
        <v>146</v>
      </c>
      <c r="E36" s="12" t="s">
        <v>83</v>
      </c>
      <c r="F36" s="13" t="s">
        <v>78</v>
      </c>
      <c r="G36" s="12" t="s">
        <v>3</v>
      </c>
      <c r="H36" s="12"/>
      <c r="I36" s="12"/>
      <c r="J36" s="12"/>
      <c r="K36" s="10"/>
    </row>
    <row r="37" customFormat="false" ht="23.85" hidden="false" customHeight="false" outlineLevel="0" collapsed="false">
      <c r="A37" s="12" t="s">
        <v>39</v>
      </c>
      <c r="B37" s="12" t="s">
        <v>42</v>
      </c>
      <c r="C37" s="12" t="s">
        <v>147</v>
      </c>
      <c r="D37" s="10" t="s">
        <v>148</v>
      </c>
      <c r="E37" s="12" t="s">
        <v>83</v>
      </c>
      <c r="F37" s="13" t="s">
        <v>78</v>
      </c>
      <c r="G37" s="12" t="s">
        <v>3</v>
      </c>
      <c r="H37" s="12"/>
      <c r="I37" s="12"/>
      <c r="J37" s="12"/>
      <c r="K37" s="10"/>
    </row>
    <row r="38" customFormat="false" ht="23.85" hidden="false" customHeight="false" outlineLevel="0" collapsed="false">
      <c r="A38" s="12" t="s">
        <v>39</v>
      </c>
      <c r="B38" s="12" t="s">
        <v>42</v>
      </c>
      <c r="C38" s="12" t="s">
        <v>149</v>
      </c>
      <c r="D38" s="10" t="s">
        <v>150</v>
      </c>
      <c r="E38" s="12" t="s">
        <v>83</v>
      </c>
      <c r="F38" s="13" t="s">
        <v>78</v>
      </c>
      <c r="G38" s="12" t="s">
        <v>3</v>
      </c>
      <c r="H38" s="12"/>
      <c r="I38" s="12"/>
      <c r="J38" s="12"/>
      <c r="K38" s="10"/>
    </row>
    <row r="39" customFormat="false" ht="23.85" hidden="false" customHeight="false" outlineLevel="0" collapsed="false">
      <c r="A39" s="12" t="s">
        <v>39</v>
      </c>
      <c r="B39" s="12" t="s">
        <v>42</v>
      </c>
      <c r="C39" s="12" t="s">
        <v>151</v>
      </c>
      <c r="D39" s="10" t="s">
        <v>152</v>
      </c>
      <c r="E39" s="12" t="s">
        <v>89</v>
      </c>
      <c r="F39" s="13" t="s">
        <v>78</v>
      </c>
      <c r="G39" s="12" t="s">
        <v>3</v>
      </c>
      <c r="H39" s="12"/>
      <c r="I39" s="12"/>
      <c r="J39" s="12" t="s">
        <v>90</v>
      </c>
      <c r="K39" s="10"/>
    </row>
    <row r="40" customFormat="false" ht="23.85" hidden="false" customHeight="false" outlineLevel="0" collapsed="false">
      <c r="A40" s="12" t="s">
        <v>43</v>
      </c>
      <c r="B40" s="12" t="s">
        <v>46</v>
      </c>
      <c r="C40" s="12" t="s">
        <v>153</v>
      </c>
      <c r="D40" s="10" t="s">
        <v>154</v>
      </c>
      <c r="E40" s="12" t="s">
        <v>83</v>
      </c>
      <c r="F40" s="13" t="s">
        <v>78</v>
      </c>
      <c r="G40" s="12" t="s">
        <v>3</v>
      </c>
      <c r="H40" s="12"/>
      <c r="I40" s="12"/>
      <c r="J40" s="12"/>
      <c r="K40" s="10"/>
    </row>
    <row r="41" customFormat="false" ht="23.85" hidden="false" customHeight="false" outlineLevel="0" collapsed="false">
      <c r="A41" s="12" t="s">
        <v>43</v>
      </c>
      <c r="B41" s="12" t="s">
        <v>46</v>
      </c>
      <c r="C41" s="12" t="s">
        <v>155</v>
      </c>
      <c r="D41" s="10" t="s">
        <v>156</v>
      </c>
      <c r="E41" s="12" t="s">
        <v>83</v>
      </c>
      <c r="F41" s="13" t="s">
        <v>78</v>
      </c>
      <c r="G41" s="12" t="s">
        <v>3</v>
      </c>
      <c r="H41" s="12"/>
      <c r="I41" s="12"/>
      <c r="J41" s="12"/>
      <c r="K41" s="10"/>
    </row>
    <row r="42" customFormat="false" ht="15" hidden="false" customHeight="false" outlineLevel="0" collapsed="false">
      <c r="A42" s="12" t="s">
        <v>43</v>
      </c>
      <c r="B42" s="12" t="s">
        <v>46</v>
      </c>
      <c r="C42" s="12" t="s">
        <v>157</v>
      </c>
      <c r="D42" s="10" t="s">
        <v>158</v>
      </c>
      <c r="E42" s="12" t="s">
        <v>83</v>
      </c>
      <c r="F42" s="13" t="s">
        <v>78</v>
      </c>
      <c r="G42" s="12" t="s">
        <v>3</v>
      </c>
      <c r="H42" s="12"/>
      <c r="I42" s="12"/>
      <c r="J42" s="12"/>
      <c r="K42" s="10"/>
    </row>
    <row r="43" customFormat="false" ht="15" hidden="false" customHeight="false" outlineLevel="0" collapsed="false">
      <c r="A43" s="12" t="s">
        <v>43</v>
      </c>
      <c r="B43" s="12" t="s">
        <v>46</v>
      </c>
      <c r="C43" s="12" t="s">
        <v>159</v>
      </c>
      <c r="D43" s="10" t="s">
        <v>160</v>
      </c>
      <c r="E43" s="12" t="s">
        <v>89</v>
      </c>
      <c r="F43" s="13" t="s">
        <v>78</v>
      </c>
      <c r="G43" s="12" t="s">
        <v>3</v>
      </c>
      <c r="H43" s="12"/>
      <c r="I43" s="12"/>
      <c r="J43" s="12" t="s">
        <v>161</v>
      </c>
      <c r="K43" s="10"/>
    </row>
    <row r="44" customFormat="false" ht="23.85" hidden="false" customHeight="false" outlineLevel="0" collapsed="false">
      <c r="A44" s="12" t="s">
        <v>47</v>
      </c>
      <c r="B44" s="12" t="s">
        <v>50</v>
      </c>
      <c r="C44" s="12" t="s">
        <v>162</v>
      </c>
      <c r="D44" s="10" t="s">
        <v>163</v>
      </c>
      <c r="E44" s="12" t="s">
        <v>83</v>
      </c>
      <c r="F44" s="14" t="s">
        <v>84</v>
      </c>
      <c r="G44" s="12" t="s">
        <v>3</v>
      </c>
      <c r="H44" s="12"/>
      <c r="I44" s="12"/>
      <c r="J44" s="12"/>
      <c r="K44" s="10"/>
    </row>
    <row r="45" customFormat="false" ht="23.85" hidden="false" customHeight="false" outlineLevel="0" collapsed="false">
      <c r="A45" s="12" t="s">
        <v>47</v>
      </c>
      <c r="B45" s="12" t="s">
        <v>50</v>
      </c>
      <c r="C45" s="12" t="s">
        <v>164</v>
      </c>
      <c r="D45" s="10" t="s">
        <v>165</v>
      </c>
      <c r="E45" s="12" t="s">
        <v>89</v>
      </c>
      <c r="F45" s="14" t="s">
        <v>84</v>
      </c>
      <c r="G45" s="12" t="s">
        <v>3</v>
      </c>
      <c r="H45" s="12"/>
      <c r="I45" s="12"/>
      <c r="J45" s="12" t="s">
        <v>166</v>
      </c>
      <c r="K45" s="10"/>
    </row>
    <row r="46" customFormat="false" ht="15" hidden="false" customHeight="false" outlineLevel="0" collapsed="false">
      <c r="A46" s="12" t="s">
        <v>47</v>
      </c>
      <c r="B46" s="12" t="s">
        <v>50</v>
      </c>
      <c r="C46" s="12" t="s">
        <v>167</v>
      </c>
      <c r="D46" s="10" t="s">
        <v>168</v>
      </c>
      <c r="E46" s="12" t="s">
        <v>83</v>
      </c>
      <c r="F46" s="14" t="s">
        <v>84</v>
      </c>
      <c r="G46" s="12" t="s">
        <v>3</v>
      </c>
      <c r="H46" s="12"/>
      <c r="I46" s="12"/>
      <c r="J46" s="12"/>
      <c r="K46" s="10"/>
    </row>
    <row r="47" customFormat="false" ht="23.85" hidden="false" customHeight="false" outlineLevel="0" collapsed="false">
      <c r="A47" s="12" t="s">
        <v>47</v>
      </c>
      <c r="B47" s="12" t="s">
        <v>50</v>
      </c>
      <c r="C47" s="12" t="s">
        <v>169</v>
      </c>
      <c r="D47" s="10" t="s">
        <v>170</v>
      </c>
      <c r="E47" s="12" t="s">
        <v>89</v>
      </c>
      <c r="F47" s="14" t="s">
        <v>84</v>
      </c>
      <c r="G47" s="12" t="s">
        <v>3</v>
      </c>
      <c r="H47" s="12"/>
      <c r="I47" s="12"/>
      <c r="J47" s="12"/>
      <c r="K47" s="10"/>
    </row>
    <row r="48" customFormat="false" ht="23.85" hidden="false" customHeight="false" outlineLevel="0" collapsed="false">
      <c r="A48" s="12" t="s">
        <v>47</v>
      </c>
      <c r="B48" s="12" t="s">
        <v>50</v>
      </c>
      <c r="C48" s="12" t="s">
        <v>171</v>
      </c>
      <c r="D48" s="10" t="s">
        <v>172</v>
      </c>
      <c r="E48" s="12" t="s">
        <v>83</v>
      </c>
      <c r="F48" s="14" t="s">
        <v>84</v>
      </c>
      <c r="G48" s="12" t="s">
        <v>3</v>
      </c>
      <c r="H48" s="12"/>
      <c r="I48" s="12"/>
      <c r="J48" s="12"/>
      <c r="K48" s="10"/>
    </row>
    <row r="49" customFormat="false" ht="15" hidden="false" customHeight="false" outlineLevel="0" collapsed="false">
      <c r="A49" s="12" t="s">
        <v>51</v>
      </c>
      <c r="B49" s="12" t="s">
        <v>54</v>
      </c>
      <c r="C49" s="12" t="s">
        <v>173</v>
      </c>
      <c r="D49" s="10" t="s">
        <v>174</v>
      </c>
      <c r="E49" s="12" t="s">
        <v>83</v>
      </c>
      <c r="F49" s="13" t="s">
        <v>78</v>
      </c>
      <c r="G49" s="12" t="s">
        <v>3</v>
      </c>
      <c r="H49" s="12"/>
      <c r="I49" s="12"/>
      <c r="J49" s="12"/>
      <c r="K49" s="10"/>
    </row>
    <row r="50" customFormat="false" ht="23.85" hidden="false" customHeight="false" outlineLevel="0" collapsed="false">
      <c r="A50" s="12" t="s">
        <v>51</v>
      </c>
      <c r="B50" s="12" t="s">
        <v>54</v>
      </c>
      <c r="C50" s="12" t="s">
        <v>175</v>
      </c>
      <c r="D50" s="10" t="s">
        <v>176</v>
      </c>
      <c r="E50" s="12" t="s">
        <v>142</v>
      </c>
      <c r="F50" s="13" t="s">
        <v>78</v>
      </c>
      <c r="G50" s="12" t="s">
        <v>3</v>
      </c>
      <c r="H50" s="12"/>
      <c r="I50" s="12"/>
      <c r="J50" s="12"/>
      <c r="K50" s="10"/>
    </row>
    <row r="51" customFormat="false" ht="23.85" hidden="false" customHeight="false" outlineLevel="0" collapsed="false">
      <c r="A51" s="12" t="s">
        <v>51</v>
      </c>
      <c r="B51" s="12" t="s">
        <v>54</v>
      </c>
      <c r="C51" s="12" t="s">
        <v>177</v>
      </c>
      <c r="D51" s="10" t="s">
        <v>178</v>
      </c>
      <c r="E51" s="12" t="s">
        <v>83</v>
      </c>
      <c r="F51" s="14" t="s">
        <v>84</v>
      </c>
      <c r="G51" s="12" t="s">
        <v>3</v>
      </c>
      <c r="H51" s="12"/>
      <c r="I51" s="12"/>
      <c r="J51" s="12"/>
      <c r="K51" s="10"/>
    </row>
    <row r="52" customFormat="false" ht="23.85" hidden="false" customHeight="false" outlineLevel="0" collapsed="false">
      <c r="A52" s="12" t="s">
        <v>51</v>
      </c>
      <c r="B52" s="12" t="s">
        <v>54</v>
      </c>
      <c r="C52" s="12" t="s">
        <v>179</v>
      </c>
      <c r="D52" s="10" t="s">
        <v>180</v>
      </c>
      <c r="E52" s="12" t="s">
        <v>83</v>
      </c>
      <c r="F52" s="14" t="s">
        <v>84</v>
      </c>
      <c r="G52" s="12" t="s">
        <v>3</v>
      </c>
      <c r="H52" s="12"/>
      <c r="I52" s="12"/>
      <c r="J52" s="12"/>
      <c r="K52" s="10"/>
    </row>
    <row r="53" customFormat="false" ht="23.85" hidden="false" customHeight="false" outlineLevel="0" collapsed="false">
      <c r="A53" s="12" t="s">
        <v>55</v>
      </c>
      <c r="B53" s="12" t="s">
        <v>58</v>
      </c>
      <c r="C53" s="12" t="s">
        <v>181</v>
      </c>
      <c r="D53" s="10" t="s">
        <v>182</v>
      </c>
      <c r="E53" s="12" t="s">
        <v>77</v>
      </c>
      <c r="F53" s="13" t="s">
        <v>78</v>
      </c>
      <c r="G53" s="12" t="s">
        <v>3</v>
      </c>
      <c r="H53" s="12"/>
      <c r="I53" s="12"/>
      <c r="J53" s="12"/>
      <c r="K53" s="10"/>
    </row>
    <row r="54" customFormat="false" ht="15" hidden="false" customHeight="false" outlineLevel="0" collapsed="false">
      <c r="A54" s="12" t="s">
        <v>55</v>
      </c>
      <c r="B54" s="12" t="s">
        <v>58</v>
      </c>
      <c r="C54" s="12" t="s">
        <v>183</v>
      </c>
      <c r="D54" s="10" t="s">
        <v>184</v>
      </c>
      <c r="E54" s="12" t="s">
        <v>77</v>
      </c>
      <c r="F54" s="13" t="s">
        <v>78</v>
      </c>
      <c r="G54" s="12" t="s">
        <v>3</v>
      </c>
      <c r="H54" s="12"/>
      <c r="I54" s="12"/>
      <c r="J54" s="12"/>
      <c r="K54" s="10"/>
    </row>
    <row r="55" customFormat="false" ht="15" hidden="false" customHeight="false" outlineLevel="0" collapsed="false">
      <c r="A55" s="12" t="s">
        <v>55</v>
      </c>
      <c r="B55" s="12" t="s">
        <v>58</v>
      </c>
      <c r="C55" s="12" t="s">
        <v>185</v>
      </c>
      <c r="D55" s="10" t="s">
        <v>186</v>
      </c>
      <c r="E55" s="12" t="s">
        <v>77</v>
      </c>
      <c r="F55" s="13" t="s">
        <v>78</v>
      </c>
      <c r="G55" s="12" t="s">
        <v>3</v>
      </c>
      <c r="H55" s="12"/>
      <c r="I55" s="12"/>
      <c r="J55" s="12"/>
      <c r="K55" s="10"/>
    </row>
    <row r="56" customFormat="false" ht="23.85" hidden="false" customHeight="false" outlineLevel="0" collapsed="false">
      <c r="A56" s="12" t="s">
        <v>59</v>
      </c>
      <c r="B56" s="12" t="s">
        <v>62</v>
      </c>
      <c r="C56" s="12" t="s">
        <v>187</v>
      </c>
      <c r="D56" s="10" t="s">
        <v>188</v>
      </c>
      <c r="E56" s="12" t="s">
        <v>189</v>
      </c>
      <c r="F56" s="13" t="s">
        <v>78</v>
      </c>
      <c r="G56" s="12" t="s">
        <v>3</v>
      </c>
      <c r="H56" s="12"/>
      <c r="I56" s="12"/>
      <c r="J56" s="12"/>
      <c r="K56" s="10"/>
    </row>
    <row r="57" customFormat="false" ht="23.85" hidden="false" customHeight="false" outlineLevel="0" collapsed="false">
      <c r="A57" s="12" t="s">
        <v>59</v>
      </c>
      <c r="B57" s="12" t="s">
        <v>62</v>
      </c>
      <c r="C57" s="12" t="s">
        <v>190</v>
      </c>
      <c r="D57" s="10" t="s">
        <v>191</v>
      </c>
      <c r="E57" s="12" t="s">
        <v>189</v>
      </c>
      <c r="F57" s="13" t="s">
        <v>78</v>
      </c>
      <c r="G57" s="12" t="s">
        <v>3</v>
      </c>
      <c r="H57" s="12"/>
      <c r="I57" s="12"/>
      <c r="J57" s="12"/>
      <c r="K57" s="10"/>
    </row>
    <row r="58" customFormat="false" ht="15" hidden="false" customHeight="false" outlineLevel="0" collapsed="false">
      <c r="A58" s="12" t="s">
        <v>59</v>
      </c>
      <c r="B58" s="12" t="s">
        <v>62</v>
      </c>
      <c r="C58" s="12" t="s">
        <v>192</v>
      </c>
      <c r="D58" s="10" t="s">
        <v>193</v>
      </c>
      <c r="E58" s="12" t="s">
        <v>194</v>
      </c>
      <c r="F58" s="13" t="s">
        <v>78</v>
      </c>
      <c r="G58" s="12" t="s">
        <v>3</v>
      </c>
      <c r="H58" s="12"/>
      <c r="I58" s="12"/>
      <c r="J58" s="12"/>
      <c r="K58" s="10"/>
    </row>
  </sheetData>
  <autoFilter ref="A4:K58"/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G5:G58" type="list">
      <formula1>"À faire,En cours,Bloqué,Terminé"</formula1>
      <formula2>0</formula2>
    </dataValidation>
    <dataValidation allowBlank="true" errorStyle="stop" operator="between" showDropDown="false" showErrorMessage="false" showInputMessage="false" sqref="E5:E58" type="list">
      <formula1>"Backend,Mobile,Tests,DevOps,Produit,Backend/Mobile"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1"/>
  </cols>
  <sheetData>
    <row r="2" customFormat="false" ht="17.35" hidden="false" customHeight="false" outlineLevel="0" collapsed="false">
      <c r="B2" s="1" t="s">
        <v>195</v>
      </c>
      <c r="C2" s="1"/>
      <c r="D2" s="1"/>
      <c r="E2" s="1"/>
      <c r="F2" s="1"/>
    </row>
    <row r="4" customFormat="false" ht="15" hidden="false" customHeight="false" outlineLevel="0" collapsed="false">
      <c r="B4" s="8" t="s">
        <v>7</v>
      </c>
      <c r="C4" s="8" t="s">
        <v>196</v>
      </c>
      <c r="D4" s="8" t="s">
        <v>197</v>
      </c>
      <c r="E4" s="8" t="s">
        <v>4</v>
      </c>
      <c r="F4" s="8" t="s">
        <v>198</v>
      </c>
      <c r="G4" s="8" t="s">
        <v>199</v>
      </c>
    </row>
    <row r="5" customFormat="false" ht="15" hidden="false" customHeight="false" outlineLevel="0" collapsed="false">
      <c r="B5" s="11" t="s">
        <v>15</v>
      </c>
      <c r="C5" s="11" t="n">
        <f aca="false">COUNTIF('Backlog détaillé'!A:A,B5)</f>
        <v>3</v>
      </c>
      <c r="D5" s="11" t="n">
        <f aca="false">COUNTIFS('Backlog détaillé'!A:A,B5,'Backlog détaillé'!G:G,"Terminé")</f>
        <v>0</v>
      </c>
      <c r="E5" s="11" t="n">
        <f aca="false">COUNTIFS('Backlog détaillé'!A:A,B5,'Backlog détaillé'!G:G,"En cours")</f>
        <v>0</v>
      </c>
      <c r="F5" s="11" t="n">
        <f aca="false">COUNTIFS('Backlog détaillé'!A:A,B5,'Backlog détaillé'!G:G,"Bloqué")</f>
        <v>0</v>
      </c>
      <c r="G5" s="15" t="n">
        <f aca="false">IFERROR(D5/C5,0)</f>
        <v>0</v>
      </c>
    </row>
    <row r="6" customFormat="false" ht="15" hidden="false" customHeight="false" outlineLevel="0" collapsed="false">
      <c r="B6" s="11" t="s">
        <v>19</v>
      </c>
      <c r="C6" s="11" t="n">
        <f aca="false">COUNTIF('Backlog détaillé'!A:A,B6)</f>
        <v>7</v>
      </c>
      <c r="D6" s="11" t="n">
        <f aca="false">COUNTIFS('Backlog détaillé'!A:A,B6,'Backlog détaillé'!G:G,"Terminé")</f>
        <v>0</v>
      </c>
      <c r="E6" s="11" t="n">
        <f aca="false">COUNTIFS('Backlog détaillé'!A:A,B6,'Backlog détaillé'!G:G,"En cours")</f>
        <v>0</v>
      </c>
      <c r="F6" s="11" t="n">
        <f aca="false">COUNTIFS('Backlog détaillé'!A:A,B6,'Backlog détaillé'!G:G,"Bloqué")</f>
        <v>0</v>
      </c>
      <c r="G6" s="15" t="n">
        <f aca="false">IFERROR(D6/C6,0)</f>
        <v>0</v>
      </c>
    </row>
    <row r="7" customFormat="false" ht="15" hidden="false" customHeight="false" outlineLevel="0" collapsed="false">
      <c r="B7" s="11" t="s">
        <v>23</v>
      </c>
      <c r="C7" s="11" t="n">
        <f aca="false">COUNTIF('Backlog détaillé'!A:A,B7)</f>
        <v>4</v>
      </c>
      <c r="D7" s="11" t="n">
        <f aca="false">COUNTIFS('Backlog détaillé'!A:A,B7,'Backlog détaillé'!G:G,"Terminé")</f>
        <v>0</v>
      </c>
      <c r="E7" s="11" t="n">
        <f aca="false">COUNTIFS('Backlog détaillé'!A:A,B7,'Backlog détaillé'!G:G,"En cours")</f>
        <v>0</v>
      </c>
      <c r="F7" s="11" t="n">
        <f aca="false">COUNTIFS('Backlog détaillé'!A:A,B7,'Backlog détaillé'!G:G,"Bloqué")</f>
        <v>0</v>
      </c>
      <c r="G7" s="15" t="n">
        <f aca="false">IFERROR(D7/C7,0)</f>
        <v>0</v>
      </c>
    </row>
    <row r="8" customFormat="false" ht="15" hidden="false" customHeight="false" outlineLevel="0" collapsed="false">
      <c r="B8" s="11" t="s">
        <v>27</v>
      </c>
      <c r="C8" s="11" t="n">
        <f aca="false">COUNTIF('Backlog détaillé'!A:A,B8)</f>
        <v>4</v>
      </c>
      <c r="D8" s="11" t="n">
        <f aca="false">COUNTIFS('Backlog détaillé'!A:A,B8,'Backlog détaillé'!G:G,"Terminé")</f>
        <v>0</v>
      </c>
      <c r="E8" s="11" t="n">
        <f aca="false">COUNTIFS('Backlog détaillé'!A:A,B8,'Backlog détaillé'!G:G,"En cours")</f>
        <v>0</v>
      </c>
      <c r="F8" s="11" t="n">
        <f aca="false">COUNTIFS('Backlog détaillé'!A:A,B8,'Backlog détaillé'!G:G,"Bloqué")</f>
        <v>0</v>
      </c>
      <c r="G8" s="15" t="n">
        <f aca="false">IFERROR(D8/C8,0)</f>
        <v>0</v>
      </c>
    </row>
    <row r="9" customFormat="false" ht="15" hidden="false" customHeight="false" outlineLevel="0" collapsed="false">
      <c r="B9" s="11" t="s">
        <v>31</v>
      </c>
      <c r="C9" s="11" t="n">
        <f aca="false">COUNTIF('Backlog détaillé'!A:A,B9)</f>
        <v>6</v>
      </c>
      <c r="D9" s="11" t="n">
        <f aca="false">COUNTIFS('Backlog détaillé'!A:A,B9,'Backlog détaillé'!G:G,"Terminé")</f>
        <v>0</v>
      </c>
      <c r="E9" s="11" t="n">
        <f aca="false">COUNTIFS('Backlog détaillé'!A:A,B9,'Backlog détaillé'!G:G,"En cours")</f>
        <v>0</v>
      </c>
      <c r="F9" s="11" t="n">
        <f aca="false">COUNTIFS('Backlog détaillé'!A:A,B9,'Backlog détaillé'!G:G,"Bloqué")</f>
        <v>0</v>
      </c>
      <c r="G9" s="15" t="n">
        <f aca="false">IFERROR(D9/C9,0)</f>
        <v>0</v>
      </c>
    </row>
    <row r="10" customFormat="false" ht="15" hidden="false" customHeight="false" outlineLevel="0" collapsed="false">
      <c r="B10" s="11" t="s">
        <v>35</v>
      </c>
      <c r="C10" s="11" t="n">
        <f aca="false">COUNTIF('Backlog détaillé'!A:A,B10)</f>
        <v>6</v>
      </c>
      <c r="D10" s="11" t="n">
        <f aca="false">COUNTIFS('Backlog détaillé'!A:A,B10,'Backlog détaillé'!G:G,"Terminé")</f>
        <v>0</v>
      </c>
      <c r="E10" s="11" t="n">
        <f aca="false">COUNTIFS('Backlog détaillé'!A:A,B10,'Backlog détaillé'!G:G,"En cours")</f>
        <v>0</v>
      </c>
      <c r="F10" s="11" t="n">
        <f aca="false">COUNTIFS('Backlog détaillé'!A:A,B10,'Backlog détaillé'!G:G,"Bloqué")</f>
        <v>0</v>
      </c>
      <c r="G10" s="15" t="n">
        <f aca="false">IFERROR(D10/C10,0)</f>
        <v>0</v>
      </c>
    </row>
    <row r="11" customFormat="false" ht="15" hidden="false" customHeight="false" outlineLevel="0" collapsed="false">
      <c r="B11" s="11" t="s">
        <v>39</v>
      </c>
      <c r="C11" s="11" t="n">
        <f aca="false">COUNTIF('Backlog détaillé'!A:A,B11)</f>
        <v>5</v>
      </c>
      <c r="D11" s="11" t="n">
        <f aca="false">COUNTIFS('Backlog détaillé'!A:A,B11,'Backlog détaillé'!G:G,"Terminé")</f>
        <v>0</v>
      </c>
      <c r="E11" s="11" t="n">
        <f aca="false">COUNTIFS('Backlog détaillé'!A:A,B11,'Backlog détaillé'!G:G,"En cours")</f>
        <v>0</v>
      </c>
      <c r="F11" s="11" t="n">
        <f aca="false">COUNTIFS('Backlog détaillé'!A:A,B11,'Backlog détaillé'!G:G,"Bloqué")</f>
        <v>0</v>
      </c>
      <c r="G11" s="15" t="n">
        <f aca="false">IFERROR(D11/C11,0)</f>
        <v>0</v>
      </c>
    </row>
    <row r="12" customFormat="false" ht="15" hidden="false" customHeight="false" outlineLevel="0" collapsed="false">
      <c r="B12" s="11" t="s">
        <v>43</v>
      </c>
      <c r="C12" s="11" t="n">
        <f aca="false">COUNTIF('Backlog détaillé'!A:A,B12)</f>
        <v>4</v>
      </c>
      <c r="D12" s="11" t="n">
        <f aca="false">COUNTIFS('Backlog détaillé'!A:A,B12,'Backlog détaillé'!G:G,"Terminé")</f>
        <v>0</v>
      </c>
      <c r="E12" s="11" t="n">
        <f aca="false">COUNTIFS('Backlog détaillé'!A:A,B12,'Backlog détaillé'!G:G,"En cours")</f>
        <v>0</v>
      </c>
      <c r="F12" s="11" t="n">
        <f aca="false">COUNTIFS('Backlog détaillé'!A:A,B12,'Backlog détaillé'!G:G,"Bloqué")</f>
        <v>0</v>
      </c>
      <c r="G12" s="15" t="n">
        <f aca="false">IFERROR(D12/C12,0)</f>
        <v>0</v>
      </c>
    </row>
    <row r="13" customFormat="false" ht="15" hidden="false" customHeight="false" outlineLevel="0" collapsed="false">
      <c r="B13" s="11" t="s">
        <v>47</v>
      </c>
      <c r="C13" s="11" t="n">
        <f aca="false">COUNTIF('Backlog détaillé'!A:A,B13)</f>
        <v>5</v>
      </c>
      <c r="D13" s="11" t="n">
        <f aca="false">COUNTIFS('Backlog détaillé'!A:A,B13,'Backlog détaillé'!G:G,"Terminé")</f>
        <v>0</v>
      </c>
      <c r="E13" s="11" t="n">
        <f aca="false">COUNTIFS('Backlog détaillé'!A:A,B13,'Backlog détaillé'!G:G,"En cours")</f>
        <v>0</v>
      </c>
      <c r="F13" s="11" t="n">
        <f aca="false">COUNTIFS('Backlog détaillé'!A:A,B13,'Backlog détaillé'!G:G,"Bloqué")</f>
        <v>0</v>
      </c>
      <c r="G13" s="15" t="n">
        <f aca="false">IFERROR(D13/C13,0)</f>
        <v>0</v>
      </c>
    </row>
    <row r="14" customFormat="false" ht="15" hidden="false" customHeight="false" outlineLevel="0" collapsed="false">
      <c r="B14" s="11" t="s">
        <v>51</v>
      </c>
      <c r="C14" s="11" t="n">
        <f aca="false">COUNTIF('Backlog détaillé'!A:A,B14)</f>
        <v>4</v>
      </c>
      <c r="D14" s="11" t="n">
        <f aca="false">COUNTIFS('Backlog détaillé'!A:A,B14,'Backlog détaillé'!G:G,"Terminé")</f>
        <v>0</v>
      </c>
      <c r="E14" s="11" t="n">
        <f aca="false">COUNTIFS('Backlog détaillé'!A:A,B14,'Backlog détaillé'!G:G,"En cours")</f>
        <v>0</v>
      </c>
      <c r="F14" s="11" t="n">
        <f aca="false">COUNTIFS('Backlog détaillé'!A:A,B14,'Backlog détaillé'!G:G,"Bloqué")</f>
        <v>0</v>
      </c>
      <c r="G14" s="15" t="n">
        <f aca="false">IFERROR(D14/C14,0)</f>
        <v>0</v>
      </c>
    </row>
    <row r="15" customFormat="false" ht="15" hidden="false" customHeight="false" outlineLevel="0" collapsed="false">
      <c r="B15" s="11" t="s">
        <v>55</v>
      </c>
      <c r="C15" s="11" t="n">
        <f aca="false">COUNTIF('Backlog détaillé'!A:A,B15)</f>
        <v>3</v>
      </c>
      <c r="D15" s="11" t="n">
        <f aca="false">COUNTIFS('Backlog détaillé'!A:A,B15,'Backlog détaillé'!G:G,"Terminé")</f>
        <v>0</v>
      </c>
      <c r="E15" s="11" t="n">
        <f aca="false">COUNTIFS('Backlog détaillé'!A:A,B15,'Backlog détaillé'!G:G,"En cours")</f>
        <v>0</v>
      </c>
      <c r="F15" s="11" t="n">
        <f aca="false">COUNTIFS('Backlog détaillé'!A:A,B15,'Backlog détaillé'!G:G,"Bloqué")</f>
        <v>0</v>
      </c>
      <c r="G15" s="15" t="n">
        <f aca="false">IFERROR(D15/C15,0)</f>
        <v>0</v>
      </c>
    </row>
    <row r="16" customFormat="false" ht="15" hidden="false" customHeight="false" outlineLevel="0" collapsed="false">
      <c r="B16" s="11" t="s">
        <v>59</v>
      </c>
      <c r="C16" s="11" t="n">
        <f aca="false">COUNTIF('Backlog détaillé'!A:A,B16)</f>
        <v>3</v>
      </c>
      <c r="D16" s="11" t="n">
        <f aca="false">COUNTIFS('Backlog détaillé'!A:A,B16,'Backlog détaillé'!G:G,"Terminé")</f>
        <v>0</v>
      </c>
      <c r="E16" s="11" t="n">
        <f aca="false">COUNTIFS('Backlog détaillé'!A:A,B16,'Backlog détaillé'!G:G,"En cours")</f>
        <v>0</v>
      </c>
      <c r="F16" s="11" t="n">
        <f aca="false">COUNTIFS('Backlog détaillé'!A:A,B16,'Backlog détaillé'!G:G,"Bloqué")</f>
        <v>0</v>
      </c>
      <c r="G16" s="15" t="n">
        <f aca="false">IFERROR(D16/C16,0)</f>
        <v>0</v>
      </c>
    </row>
    <row r="17" customFormat="false" ht="15" hidden="false" customHeight="false" outlineLevel="0" collapsed="false">
      <c r="B17" s="16" t="s">
        <v>200</v>
      </c>
      <c r="C17" s="16" t="n">
        <f aca="false">SUM(C5:C16)</f>
        <v>54</v>
      </c>
      <c r="D17" s="16" t="n">
        <f aca="false">SUM(D5:D16)</f>
        <v>0</v>
      </c>
      <c r="E17" s="16" t="n">
        <f aca="false">SUM(E5:E16)</f>
        <v>0</v>
      </c>
      <c r="F17" s="16" t="n">
        <f aca="false">SUM(F5:F16)</f>
        <v>0</v>
      </c>
      <c r="G17" s="17" t="n">
        <f aca="false">IFERROR(D17/C17,0)</f>
        <v>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2026-08-11T23:28:56Z</dcterms:created>
  <dc:creator>openpyxl</dc:creator>
  <dc:description/>
  <dc:language>en-US</dc:language>
  <cp:lastModifiedBy/>
  <dcterms:modified xsi:type="dcterms:W3CDTF">2026-08-11T23:28:56Z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